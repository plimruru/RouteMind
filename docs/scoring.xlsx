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" sheetId="1" state="visible" r:id="rId1"/>
    <sheet name="Сравнение план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3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5" customWidth="1" min="3" max="3"/>
    <col width="22" customWidth="1" min="4" max="4"/>
    <col width="22" customWidth="1" min="5" max="5"/>
    <col width="34" customWidth="1" min="6" max="6"/>
  </cols>
  <sheetData>
    <row r="1" ht="28" customHeight="1">
      <c r="A1" s="1" t="inlineStr">
        <is>
          <t>RouteMind — scoring планов</t>
        </is>
      </c>
    </row>
    <row r="2" ht="28" customHeight="1"/>
    <row r="3" ht="28" customHeight="1">
      <c r="A3" s="2" t="inlineStr">
        <is>
          <t>Приоритет</t>
        </is>
      </c>
      <c r="B3" s="2" t="inlineStr">
        <is>
          <t>Показатель</t>
        </is>
      </c>
      <c r="C3" s="2" t="inlineStr">
        <is>
          <t>Как считается</t>
        </is>
      </c>
      <c r="D3" s="2" t="inlineStr">
        <is>
          <t>Вес для тех. score</t>
        </is>
      </c>
      <c r="E3" s="2" t="inlineStr">
        <is>
          <t>Правило сравнения</t>
        </is>
      </c>
      <c r="F3" s="2" t="inlineStr">
        <is>
          <t>Комментарий</t>
        </is>
      </c>
    </row>
    <row r="4" ht="28" customHeight="1">
      <c r="A4" s="3" t="n">
        <v>1</v>
      </c>
      <c r="B4" s="3" t="inlineStr">
        <is>
          <t>Неназначенные срочные</t>
        </is>
      </c>
      <c r="C4" s="3" t="inlineStr">
        <is>
          <t>Количество urgent-заявок без назначения</t>
        </is>
      </c>
      <c r="D4" s="3" t="n">
        <v>1000000</v>
      </c>
      <c r="E4" s="3" t="inlineStr">
        <is>
          <t>Меньше — лучше</t>
        </is>
      </c>
      <c r="F4" s="3" t="inlineStr">
        <is>
          <t>Самый критичный показатель</t>
        </is>
      </c>
    </row>
    <row r="5" ht="28" customHeight="1">
      <c r="A5" s="3" t="n">
        <v>2</v>
      </c>
      <c r="B5" s="3" t="inlineStr">
        <is>
          <t>Все неназначенные</t>
        </is>
      </c>
      <c r="C5" s="3" t="inlineStr">
        <is>
          <t>Количество normal-заявок без назначения</t>
        </is>
      </c>
      <c r="D5" s="3" t="n">
        <v>100000</v>
      </c>
      <c r="E5" s="3" t="inlineStr">
        <is>
          <t>Меньше — лучше</t>
        </is>
      </c>
      <c r="F5" s="3" t="inlineStr">
        <is>
          <t>Срочные считаются строкой выше</t>
        </is>
      </c>
    </row>
    <row r="6" ht="28" customHeight="1">
      <c r="A6" s="3" t="n">
        <v>3</v>
      </c>
      <c r="B6" s="3" t="inlineStr">
        <is>
          <t>Активные инженеры</t>
        </is>
      </c>
      <c r="C6" s="3" t="inlineStr">
        <is>
          <t>Уникальные engineerId с ≥1 заявкой</t>
        </is>
      </c>
      <c r="D6" s="3" t="n">
        <v>10000</v>
      </c>
      <c r="E6" s="3" t="inlineStr">
        <is>
          <t>Меньше — лучше</t>
        </is>
      </c>
      <c r="F6" s="3" t="inlineStr">
        <is>
          <t>Обязательная метрика ТЗ</t>
        </is>
      </c>
    </row>
    <row r="7" ht="28" customHeight="1">
      <c r="A7" s="3" t="n">
        <v>4</v>
      </c>
      <c r="B7" s="3" t="inlineStr">
        <is>
          <t>Суммарный пробег</t>
        </is>
      </c>
      <c r="C7" s="3" t="inlineStr">
        <is>
          <t>Сумма расстояний всех маршрутов, км</t>
        </is>
      </c>
      <c r="D7" s="3" t="n">
        <v>100</v>
      </c>
      <c r="E7" s="3" t="inlineStr">
        <is>
          <t>Меньше — лучше</t>
        </is>
      </c>
      <c r="F7" s="3" t="inlineStr">
        <is>
          <t>Обязательная метрика ТЗ</t>
        </is>
      </c>
    </row>
    <row r="8" ht="28" customHeight="1">
      <c r="A8" s="3" t="n">
        <v>5</v>
      </c>
      <c r="B8" s="3" t="inlineStr">
        <is>
          <t>Ожидание</t>
        </is>
      </c>
      <c r="C8" s="3" t="inlineStr">
        <is>
          <t>Сумма max(0, windowStart − arrival), минут</t>
        </is>
      </c>
      <c r="D8" s="3" t="n">
        <v>1</v>
      </c>
      <c r="E8" s="3" t="inlineStr">
        <is>
          <t>Меньше — лучше</t>
        </is>
      </c>
      <c r="F8" s="3" t="inlineStr">
        <is>
          <t>Tie-breaker качества расписания</t>
        </is>
      </c>
    </row>
    <row r="9" ht="28" customHeight="1">
      <c r="A9" s="3" t="n">
        <v>6</v>
      </c>
      <c r="B9" s="3" t="inlineStr">
        <is>
          <t>Изменения при replanning</t>
        </is>
      </c>
      <c r="C9" s="3" t="inlineStr">
        <is>
          <t>Будущие заявки с изменённым инженером/позицией</t>
        </is>
      </c>
      <c r="D9" s="3" t="n">
        <v>50</v>
      </c>
      <c r="E9" s="3" t="inlineStr">
        <is>
          <t>Меньше — лучше</t>
        </is>
      </c>
      <c r="F9" s="3" t="inlineStr">
        <is>
          <t>Используется только при равном основном результате</t>
        </is>
      </c>
    </row>
    <row r="10" ht="28" customHeight="1"/>
    <row r="11" ht="28" customHeight="1">
      <c r="A11" s="4" t="inlineStr">
        <is>
          <t>Основное правило</t>
        </is>
      </c>
      <c r="B11" s="5" t="inlineStr">
        <is>
          <t>Сравнивать планы лексикографически по приоритетам 1 → 6. Меньшее значение лучше.</t>
        </is>
      </c>
    </row>
    <row r="12" ht="28" customHeight="1">
      <c r="A12" s="4" t="inlineStr">
        <is>
          <t>Технический score</t>
        </is>
      </c>
      <c r="B12" s="5">
        <f>D4*B16+D5*B17+D6*B18+D7*B19+D8*B20+D9*B21</f>
        <v/>
      </c>
    </row>
    <row r="13" ht="28" customHeight="1">
      <c r="A13" s="4" t="inlineStr">
        <is>
          <t>Интерпретация</t>
        </is>
      </c>
      <c r="B13" s="5" t="inlineStr">
        <is>
          <t>Score нужен для выбора вставки; в отчёте показывайте исходные метрики. Меньший score лучше.</t>
        </is>
      </c>
    </row>
    <row r="14" ht="28" customHeight="1"/>
    <row r="15" ht="28" customHeight="1">
      <c r="A15" s="6" t="inlineStr">
        <is>
          <t>Калькулятор одного плана</t>
        </is>
      </c>
      <c r="B15" s="6" t="n"/>
      <c r="C15" s="6" t="n"/>
      <c r="D15" s="6" t="n"/>
      <c r="E15" s="6" t="n"/>
      <c r="F15" s="6" t="n"/>
    </row>
    <row r="16" ht="28" customHeight="1">
      <c r="A16" t="inlineStr">
        <is>
          <t>Срочных не назначено</t>
        </is>
      </c>
      <c r="B16" s="7" t="n">
        <v>0</v>
      </c>
    </row>
    <row r="17" ht="28" customHeight="1">
      <c r="A17" t="inlineStr">
        <is>
          <t>Обычных не назначено</t>
        </is>
      </c>
      <c r="B17" s="7" t="n">
        <v>0</v>
      </c>
    </row>
    <row r="18" ht="28" customHeight="1">
      <c r="A18" t="inlineStr">
        <is>
          <t>Активных инженеров</t>
        </is>
      </c>
      <c r="B18" s="7" t="n">
        <v>0</v>
      </c>
    </row>
    <row r="19" ht="28" customHeight="1">
      <c r="A19" t="inlineStr">
        <is>
          <t>Суммарный пробег, км</t>
        </is>
      </c>
      <c r="B19" s="7" t="n">
        <v>0</v>
      </c>
    </row>
    <row r="20" ht="28" customHeight="1">
      <c r="A20" t="inlineStr">
        <is>
          <t>Ожидание, мин</t>
        </is>
      </c>
      <c r="B20" s="7" t="n">
        <v>0</v>
      </c>
    </row>
    <row r="21" ht="28" customHeight="1">
      <c r="A21" t="inlineStr">
        <is>
          <t>Изменений будущих заявок</t>
        </is>
      </c>
      <c r="B21" s="7" t="n">
        <v>0</v>
      </c>
    </row>
    <row r="22" ht="28" customHeight="1"/>
    <row r="23" ht="28" customHeight="1">
      <c r="A23" s="8" t="inlineStr">
        <is>
          <t>Итоговый technical score</t>
        </is>
      </c>
      <c r="B23" s="9">
        <f>1000000*B16+100000*B17+10000*B18+100*B19+B20+50*B21</f>
        <v/>
      </c>
    </row>
  </sheetData>
  <mergeCells count="5">
    <mergeCell ref="B12:F12"/>
    <mergeCell ref="A1:F1"/>
    <mergeCell ref="B11:F11"/>
    <mergeCell ref="A15:F15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18" customWidth="1" min="4" max="4"/>
    <col width="24" customWidth="1" min="5" max="5"/>
    <col width="42" customWidth="1" min="6" max="6"/>
  </cols>
  <sheetData>
    <row r="1" ht="28" customHeight="1">
      <c r="A1" s="1" t="inlineStr">
        <is>
          <t>Сравнение baseline и оптимизированного плана</t>
        </is>
      </c>
    </row>
    <row r="2" ht="28" customHeight="1"/>
    <row r="3" ht="28" customHeight="1">
      <c r="A3" s="2" t="inlineStr">
        <is>
          <t>Метрика</t>
        </is>
      </c>
      <c r="B3" s="2" t="inlineStr">
        <is>
          <t>Baseline</t>
        </is>
      </c>
      <c r="C3" s="2" t="inlineStr">
        <is>
          <t>Оптимизированный</t>
        </is>
      </c>
      <c r="D3" s="2" t="inlineStr">
        <is>
          <t>Разница</t>
        </is>
      </c>
      <c r="E3" s="2" t="inlineStr">
        <is>
          <t>Лучший вариант</t>
        </is>
      </c>
      <c r="F3" s="2" t="inlineStr">
        <is>
          <t>Комментарий</t>
        </is>
      </c>
      <c r="G3" s="6" t="n"/>
      <c r="H3" s="6" t="n"/>
      <c r="I3" s="6" t="n"/>
      <c r="J3" s="6" t="n"/>
    </row>
    <row r="4" ht="28" customHeight="1">
      <c r="A4" s="3" t="inlineStr">
        <is>
          <t>Срочных не назначено</t>
        </is>
      </c>
      <c r="B4" s="10" t="n">
        <v>0</v>
      </c>
      <c r="C4" s="10" t="n">
        <v>0</v>
      </c>
      <c r="D4" s="3">
        <f>C4-B4</f>
        <v/>
      </c>
      <c r="E4" s="3">
        <f>IF(B4&lt;C4,"Baseline",IF(B4&gt;C4,"Оптимизированный","Равно"))</f>
        <v/>
      </c>
      <c r="F4" s="3" t="inlineStr">
        <is>
          <t>Заполните значения в жёлтых ячейках</t>
        </is>
      </c>
    </row>
    <row r="5" ht="28" customHeight="1">
      <c r="A5" s="3" t="inlineStr">
        <is>
          <t>Обычных не назначено</t>
        </is>
      </c>
      <c r="B5" s="10" t="n">
        <v>0</v>
      </c>
      <c r="C5" s="10" t="n">
        <v>0</v>
      </c>
      <c r="D5" s="3">
        <f>C5-B5</f>
        <v/>
      </c>
      <c r="E5" s="3">
        <f>IF(B5&lt;C5,"Baseline",IF(B5&gt;C5,"Оптимизированный","Равно"))</f>
        <v/>
      </c>
      <c r="F5" s="3" t="inlineStr">
        <is>
          <t>Заполните значения в жёлтых ячейках</t>
        </is>
      </c>
    </row>
    <row r="6" ht="28" customHeight="1">
      <c r="A6" s="3" t="inlineStr">
        <is>
          <t>Активных инженеров</t>
        </is>
      </c>
      <c r="B6" s="10" t="n">
        <v>0</v>
      </c>
      <c r="C6" s="10" t="n">
        <v>0</v>
      </c>
      <c r="D6" s="3">
        <f>C6-B6</f>
        <v/>
      </c>
      <c r="E6" s="3">
        <f>IF(B6&lt;C6,"Baseline",IF(B6&gt;C6,"Оптимизированный","Равно"))</f>
        <v/>
      </c>
      <c r="F6" s="3" t="inlineStr">
        <is>
          <t>Заполните значения в жёлтых ячейках</t>
        </is>
      </c>
    </row>
    <row r="7" ht="28" customHeight="1">
      <c r="A7" s="3" t="inlineStr">
        <is>
          <t>Суммарный пробег, км</t>
        </is>
      </c>
      <c r="B7" s="10" t="n">
        <v>0</v>
      </c>
      <c r="C7" s="10" t="n">
        <v>0</v>
      </c>
      <c r="D7" s="3">
        <f>C7-B7</f>
        <v/>
      </c>
      <c r="E7" s="3">
        <f>IF(B7&lt;C7,"Baseline",IF(B7&gt;C7,"Оптимизированный","Равно"))</f>
        <v/>
      </c>
      <c r="F7" s="3" t="inlineStr">
        <is>
          <t>Заполните значения в жёлтых ячейках</t>
        </is>
      </c>
    </row>
    <row r="8" ht="28" customHeight="1">
      <c r="A8" s="3" t="inlineStr">
        <is>
          <t>Ожидание, мин</t>
        </is>
      </c>
      <c r="B8" s="10" t="n">
        <v>0</v>
      </c>
      <c r="C8" s="10" t="n">
        <v>0</v>
      </c>
      <c r="D8" s="3">
        <f>C8-B8</f>
        <v/>
      </c>
      <c r="E8" s="3">
        <f>IF(B8&lt;C8,"Baseline",IF(B8&gt;C8,"Оптимизированный","Равно"))</f>
        <v/>
      </c>
      <c r="F8" s="3" t="inlineStr">
        <is>
          <t>Заполните значения в жёлтых ячейках</t>
        </is>
      </c>
    </row>
    <row r="9" ht="28" customHeight="1">
      <c r="A9" s="3" t="inlineStr">
        <is>
          <t>Изменения будущих заявок</t>
        </is>
      </c>
      <c r="B9" s="10" t="n">
        <v>0</v>
      </c>
      <c r="C9" s="10" t="n">
        <v>0</v>
      </c>
      <c r="D9" s="3">
        <f>C9-B9</f>
        <v/>
      </c>
      <c r="E9" s="3">
        <f>IF(B9&lt;C9,"Baseline",IF(B9&gt;C9,"Оптимизированный","Равно"))</f>
        <v/>
      </c>
      <c r="F9" s="3" t="inlineStr">
        <is>
          <t>Заполните значения в жёлтых ячейках</t>
        </is>
      </c>
    </row>
    <row r="10" ht="28" customHeight="1">
      <c r="A10" s="3" t="inlineStr">
        <is>
          <t>Technical score</t>
        </is>
      </c>
      <c r="B10" s="11">
        <f>1000000*B4+100000*B5+10000*B6+100*B7+B8+50*B9</f>
        <v/>
      </c>
      <c r="C10" s="11">
        <f>1000000*C4+100000*C5+10000*C6+100*C7+C8+50*C9</f>
        <v/>
      </c>
      <c r="D10" s="3">
        <f>C10-B10</f>
        <v/>
      </c>
      <c r="E10" s="3">
        <f>IF(B10&lt;C10,"Baseline",IF(B10&gt;C10,"Оптимизированный","Равно"))</f>
        <v/>
      </c>
      <c r="F10" s="3" t="inlineStr">
        <is>
          <t>Заполните значения в жёлтых ячейках</t>
        </is>
      </c>
    </row>
    <row r="11" ht="28" customHeight="1"/>
    <row r="12" ht="28" customHeight="1">
      <c r="A12" s="8" t="inlineStr">
        <is>
          <t>Вывод</t>
        </is>
      </c>
      <c r="B12" s="12" t="inlineStr">
        <is>
          <t>План сравнивают прежде всего лексикографически: срочные → все неназначенные → инженеры → километры → ожидание → изменения.</t>
        </is>
      </c>
    </row>
  </sheetData>
  <mergeCells count="2">
    <mergeCell ref="A1:J1"/>
    <mergeCell ref="B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2026-09-16T20:39:36Z</dcterms:created>
  <dcterms:modified xsi:type="dcterms:W3CDTF">2026-09-16T20:39:36Z</dcterms:modified>
</cp:coreProperties>
</file>